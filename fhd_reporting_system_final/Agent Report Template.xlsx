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hseha-my.sharepoint.com/personal/o-fmalhamadi_seha_ae/Documents/Desktop/"/>
    </mc:Choice>
  </mc:AlternateContent>
  <xr:revisionPtr revIDLastSave="0" documentId="8_{05190CB3-053B-4EB2-AC3E-65B32A698E76}" xr6:coauthVersionLast="47" xr6:coauthVersionMax="47" xr10:uidLastSave="{00000000-0000-0000-0000-000000000000}"/>
  <bookViews>
    <workbookView xWindow="28680" yWindow="-120" windowWidth="29040" windowHeight="15720" xr2:uid="{EA906387-FF07-4C56-858E-BA14EAE46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  <c r="Y10" i="1"/>
  <c r="L10" i="1"/>
  <c r="K10" i="1"/>
  <c r="Z9" i="1"/>
  <c r="Y9" i="1"/>
  <c r="L9" i="1"/>
  <c r="K9" i="1"/>
  <c r="Z8" i="1"/>
  <c r="Y8" i="1"/>
  <c r="L8" i="1"/>
  <c r="K8" i="1"/>
  <c r="Z7" i="1"/>
  <c r="Y7" i="1"/>
  <c r="L7" i="1"/>
  <c r="K7" i="1"/>
  <c r="Z6" i="1"/>
  <c r="Y6" i="1"/>
  <c r="L6" i="1"/>
  <c r="K6" i="1"/>
  <c r="Z5" i="1"/>
  <c r="Y5" i="1"/>
  <c r="L5" i="1"/>
  <c r="K5" i="1"/>
  <c r="Z4" i="1"/>
  <c r="Y4" i="1"/>
  <c r="L4" i="1"/>
  <c r="K4" i="1"/>
  <c r="Z3" i="1"/>
  <c r="Y3" i="1"/>
  <c r="L3" i="1"/>
  <c r="K3" i="1"/>
</calcChain>
</file>

<file path=xl/sharedStrings.xml><?xml version="1.0" encoding="utf-8"?>
<sst xmlns="http://schemas.openxmlformats.org/spreadsheetml/2006/main" count="49" uniqueCount="42">
  <si>
    <t xml:space="preserve">Agent Details </t>
  </si>
  <si>
    <t>Agent Loggin</t>
  </si>
  <si>
    <t>Agent Performance</t>
  </si>
  <si>
    <t xml:space="preserve">Agent Status </t>
  </si>
  <si>
    <t>Notes</t>
  </si>
  <si>
    <t>Date</t>
  </si>
  <si>
    <t>Agent Name</t>
  </si>
  <si>
    <t>Division Name</t>
  </si>
  <si>
    <t>Log in Time</t>
  </si>
  <si>
    <t>Log Out Time</t>
  </si>
  <si>
    <t>Total Logged In Durtation</t>
  </si>
  <si>
    <t>Total Answered Calls</t>
  </si>
  <si>
    <t xml:space="preserve">Answered INQ&amp;AMB Queue Calls </t>
  </si>
  <si>
    <t>Outbound Calls</t>
  </si>
  <si>
    <t>Total Inbound Booking</t>
  </si>
  <si>
    <t xml:space="preserve">Inbound Booking % </t>
  </si>
  <si>
    <t>Total Calls
 ( In &amp; Out )</t>
  </si>
  <si>
    <t>Total Wrap-Up 
(ACW)</t>
  </si>
  <si>
    <t>Avg Handle Time
 ( Min )</t>
  </si>
  <si>
    <t>Ocuupancy %</t>
  </si>
  <si>
    <t>On Queue 
( Min )</t>
  </si>
  <si>
    <t>Idle
( Min )</t>
  </si>
  <si>
    <t>OFF Queue
( Min )</t>
  </si>
  <si>
    <t>Break
( Min )</t>
  </si>
  <si>
    <t>Available
( Min )</t>
  </si>
  <si>
    <t>Meeting
(Min)</t>
  </si>
  <si>
    <t>Busy/Task to Do
(Min)</t>
  </si>
  <si>
    <t>Away/IT issue
(Min)</t>
  </si>
  <si>
    <t>Training
(Min)</t>
  </si>
  <si>
    <t>Off Queue %</t>
  </si>
  <si>
    <t>Idle %</t>
  </si>
  <si>
    <t>Additional Information</t>
  </si>
  <si>
    <t>Abdallah Mostafa Mohamed|9290</t>
  </si>
  <si>
    <t>Abu Dhabi Region</t>
  </si>
  <si>
    <t>Haytham Adawy Selim|9087</t>
  </si>
  <si>
    <t>Mahmoud Aldeeb|9209</t>
  </si>
  <si>
    <t>Mai Elmardi|9263</t>
  </si>
  <si>
    <t>May Salem|9053</t>
  </si>
  <si>
    <t>Saad Gamal Aly Deyab|9291</t>
  </si>
  <si>
    <t xml:space="preserve">تذكير مواعيد </t>
  </si>
  <si>
    <t>Sardar Zakir Ahmad|9065</t>
  </si>
  <si>
    <t>Zinab Ahmed Zaki|9302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</si>
</sst>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FAF4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CF3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1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6" borderId="2" xfId="2" applyFont="1" applyFill="1" applyBorder="1" applyAlignment="1">
      <alignment horizontal="center" vertical="center"/>
    </xf>
    <xf numFmtId="164" fontId="2" fillId="7" borderId="2" xfId="2" applyNumberFormat="1" applyFont="1" applyFill="1" applyBorder="1" applyAlignment="1">
      <alignment horizontal="center" vertical="center"/>
    </xf>
    <xf numFmtId="0" fontId="2" fillId="7" borderId="2" xfId="2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164" fontId="1" fillId="10" borderId="2" xfId="2" applyNumberFormat="1" applyFont="1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/>
    </xf>
    <xf numFmtId="9" fontId="0" fillId="11" borderId="2" xfId="1" applyFont="1" applyFill="1" applyBorder="1" applyAlignment="1">
      <alignment horizontal="center"/>
    </xf>
    <xf numFmtId="1" fontId="0" fillId="11" borderId="2" xfId="1" applyNumberFormat="1" applyFont="1" applyFill="1" applyBorder="1" applyAlignment="1">
      <alignment horizontal="center"/>
    </xf>
    <xf numFmtId="1" fontId="1" fillId="11" borderId="2" xfId="2" applyNumberFormat="1" applyFont="1" applyFill="1" applyBorder="1" applyAlignment="1">
      <alignment horizontal="center" vertical="center"/>
    </xf>
    <xf numFmtId="164" fontId="1" fillId="11" borderId="2" xfId="2" applyNumberFormat="1" applyFont="1" applyFill="1" applyBorder="1" applyAlignment="1">
      <alignment horizontal="center" vertical="center"/>
    </xf>
    <xf numFmtId="164" fontId="1" fillId="9" borderId="2" xfId="2" applyNumberFormat="1" applyFont="1" applyFill="1" applyBorder="1" applyAlignment="1">
      <alignment horizontal="center" vertical="center"/>
    </xf>
    <xf numFmtId="9" fontId="0" fillId="9" borderId="2" xfId="1" applyFont="1" applyFill="1" applyBorder="1" applyAlignment="1">
      <alignment horizontal="center"/>
    </xf>
    <xf numFmtId="9" fontId="1" fillId="10" borderId="2" xfId="1" applyFont="1" applyFill="1" applyBorder="1" applyAlignment="1">
      <alignment horizontal="center" vertical="center"/>
    </xf>
  </cellXfs>
  <cellStyles count="3">
    <cellStyle name="Normal" xfId="0" builtinId="0"/>
    <cellStyle name="Note" xfId="2" builtinId="10"/>
    <cellStyle name="Percent" xfId="1" builtinId="5"/>
  </cellStyles>
  <dxfs count="8"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/>
        <color rgb="FF6C0000"/>
      </font>
    </dxf>
    <dxf>
      <font>
        <b/>
        <i val="0"/>
        <color theme="9" tint="-0.24994659260841701"/>
      </font>
    </dxf>
    <dxf>
      <font>
        <b/>
        <i/>
        <color rgb="FF6C0000"/>
      </font>
    </dxf>
    <dxf>
      <font>
        <b/>
        <i val="0"/>
        <color theme="9" tint="-0.24994659260841701"/>
      </font>
    </dxf>
    <dxf>
      <font>
        <b/>
        <i/>
        <color rgb="FF6C0000"/>
      </font>
    </dxf>
    <dxf>
      <font>
        <b/>
        <i/>
        <color theme="7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49CF-F552-4E52-A43E-C726FC14FBF1}">
  <dimension ref="A1:AA10"/>
  <sheetViews>
    <sheetView showGridLines="0" tabSelected="1" zoomScale="85" zoomScaleNormal="85" workbookViewId="0">
      <selection activeCell="F17" sqref="F17"/>
    </sheetView>
  </sheetViews>
  <sheetFormatPr defaultRowHeight="15" x14ac:dyDescent="0.25"/>
  <cols>
    <col min="1" max="1" width="10.85546875" bestFit="1" customWidth="1"/>
    <col min="2" max="26" width="10.140625" customWidth="1"/>
    <col min="27" max="27" width="21.7109375" bestFit="1" customWidth="1"/>
  </cols>
  <sheetData>
    <row r="1" spans="1:27" ht="18.75" x14ac:dyDescent="0.25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  <c r="I1" s="3"/>
      <c r="J1" s="3"/>
      <c r="K1" s="3"/>
      <c r="L1" s="3"/>
      <c r="M1" s="3"/>
      <c r="N1" s="3"/>
      <c r="O1" s="3"/>
      <c r="P1" s="1" t="s">
        <v>3</v>
      </c>
      <c r="Q1" s="1"/>
      <c r="R1" s="1"/>
      <c r="S1" s="1"/>
      <c r="T1" s="1"/>
      <c r="U1" s="1"/>
      <c r="V1" s="1"/>
      <c r="W1" s="1"/>
      <c r="X1" s="1"/>
      <c r="Y1" s="1"/>
      <c r="Z1" s="1"/>
      <c r="AA1" s="4" t="s">
        <v>4</v>
      </c>
    </row>
    <row r="2" spans="1:27" x14ac:dyDescent="0.25">
      <c r="A2" s="5" t="s">
        <v>5</v>
      </c>
      <c r="B2" s="5" t="s">
        <v>6</v>
      </c>
      <c r="C2" s="5" t="s">
        <v>7</v>
      </c>
      <c r="D2" s="6" t="s">
        <v>8</v>
      </c>
      <c r="E2" s="6" t="s">
        <v>9</v>
      </c>
      <c r="F2" s="7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9" t="s">
        <v>24</v>
      </c>
      <c r="U2" s="9" t="s">
        <v>25</v>
      </c>
      <c r="V2" s="9" t="s">
        <v>26</v>
      </c>
      <c r="W2" s="9" t="s">
        <v>27</v>
      </c>
      <c r="X2" s="9" t="s">
        <v>28</v>
      </c>
      <c r="Y2" s="9" t="s">
        <v>29</v>
      </c>
      <c r="Z2" s="9" t="s">
        <v>30</v>
      </c>
      <c r="AA2" s="7" t="s">
        <v>31</v>
      </c>
    </row>
    <row r="3" spans="1:27" x14ac:dyDescent="0.25">
      <c r="A3" s="10">
        <v>45700.270833333336</v>
      </c>
      <c r="B3" s="11" t="s">
        <v>32</v>
      </c>
      <c r="C3" s="11" t="s">
        <v>33</v>
      </c>
      <c r="D3" s="12">
        <v>0.33402777777519077</v>
      </c>
      <c r="E3" s="12">
        <v>0.71111111110803904</v>
      </c>
      <c r="F3" s="12">
        <v>0.37685686342592595</v>
      </c>
      <c r="G3" s="13">
        <v>55</v>
      </c>
      <c r="H3" s="13">
        <v>11</v>
      </c>
      <c r="I3" s="13">
        <v>1</v>
      </c>
      <c r="J3" s="13">
        <v>20</v>
      </c>
      <c r="K3" s="14">
        <f t="shared" ref="K3:K10" si="0">MAX(0,IFERROR(J3/(G3-H3),0))</f>
        <v>0.45454545454545453</v>
      </c>
      <c r="L3" s="15">
        <f t="shared" ref="L3:L10" si="1">G3+I3</f>
        <v>56</v>
      </c>
      <c r="M3" s="16">
        <v>0</v>
      </c>
      <c r="N3" s="17">
        <v>1.8850115740740741E-3</v>
      </c>
      <c r="O3" s="14">
        <v>0.39</v>
      </c>
      <c r="P3" s="18">
        <v>0.27151981481481485</v>
      </c>
      <c r="Q3" s="18">
        <v>0.16694949074074072</v>
      </c>
      <c r="R3" s="18">
        <v>0.10533704861111109</v>
      </c>
      <c r="S3" s="18">
        <v>7.3657233796296295E-2</v>
      </c>
      <c r="T3" s="18">
        <v>0</v>
      </c>
      <c r="U3" s="18">
        <v>0</v>
      </c>
      <c r="V3" s="18">
        <v>1.3822118055555556E-2</v>
      </c>
      <c r="W3" s="18">
        <v>0</v>
      </c>
      <c r="X3" s="18">
        <v>0</v>
      </c>
      <c r="Y3" s="19">
        <f t="shared" ref="Y3:Y10" si="2">IFERROR(R3/F3,0)</f>
        <v>0.27951474109696262</v>
      </c>
      <c r="Z3" s="19">
        <f t="shared" ref="Z3:Z10" si="3">IFERROR(Q3/P3,0)</f>
        <v>0.61487037642024611</v>
      </c>
      <c r="AA3" s="20"/>
    </row>
    <row r="4" spans="1:27" x14ac:dyDescent="0.25">
      <c r="A4" s="10">
        <v>45700.270833333336</v>
      </c>
      <c r="B4" s="11" t="s">
        <v>34</v>
      </c>
      <c r="C4" s="11" t="s">
        <v>33</v>
      </c>
      <c r="D4" s="12">
        <v>0</v>
      </c>
      <c r="E4" s="12">
        <v>0</v>
      </c>
      <c r="F4" s="12">
        <v>0</v>
      </c>
      <c r="G4" s="13">
        <v>0</v>
      </c>
      <c r="H4" s="13">
        <v>0</v>
      </c>
      <c r="I4" s="13">
        <v>0</v>
      </c>
      <c r="J4" s="13">
        <v>0</v>
      </c>
      <c r="K4" s="14">
        <f t="shared" si="0"/>
        <v>0</v>
      </c>
      <c r="L4" s="15">
        <f t="shared" si="1"/>
        <v>0</v>
      </c>
      <c r="M4" s="16">
        <v>0</v>
      </c>
      <c r="N4" s="17">
        <v>0</v>
      </c>
      <c r="O4" s="14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9">
        <f t="shared" si="2"/>
        <v>0</v>
      </c>
      <c r="Z4" s="19">
        <f t="shared" si="3"/>
        <v>0</v>
      </c>
      <c r="AA4" s="20"/>
    </row>
    <row r="5" spans="1:27" x14ac:dyDescent="0.25">
      <c r="A5" s="10">
        <v>45700.270833333336</v>
      </c>
      <c r="B5" s="11" t="s">
        <v>35</v>
      </c>
      <c r="C5" s="11" t="s">
        <v>33</v>
      </c>
      <c r="D5" s="12">
        <v>0.34999999999854481</v>
      </c>
      <c r="E5" s="12">
        <v>0.73124999999708962</v>
      </c>
      <c r="F5" s="12">
        <v>0.38151399305555556</v>
      </c>
      <c r="G5" s="13">
        <v>52</v>
      </c>
      <c r="H5" s="13">
        <v>13</v>
      </c>
      <c r="I5" s="13">
        <v>1</v>
      </c>
      <c r="J5" s="13">
        <v>26</v>
      </c>
      <c r="K5" s="14">
        <f t="shared" si="0"/>
        <v>0.66666666666666663</v>
      </c>
      <c r="L5" s="15">
        <f t="shared" si="1"/>
        <v>53</v>
      </c>
      <c r="M5" s="16">
        <v>0</v>
      </c>
      <c r="N5" s="17">
        <v>2.5743171296296295E-3</v>
      </c>
      <c r="O5" s="14">
        <v>0.53</v>
      </c>
      <c r="P5" s="18">
        <v>0.2594371412037037</v>
      </c>
      <c r="Q5" s="18">
        <v>0.12327556712962963</v>
      </c>
      <c r="R5" s="18">
        <v>0.12207685185185185</v>
      </c>
      <c r="S5" s="18">
        <v>5.6801944444444447E-2</v>
      </c>
      <c r="T5" s="18">
        <v>0</v>
      </c>
      <c r="U5" s="18">
        <v>2.3742592592592591E-3</v>
      </c>
      <c r="V5" s="18">
        <v>1.670763888888889E-2</v>
      </c>
      <c r="W5" s="18">
        <v>0</v>
      </c>
      <c r="X5" s="18">
        <v>0</v>
      </c>
      <c r="Y5" s="19">
        <f t="shared" si="2"/>
        <v>0.31998001141225557</v>
      </c>
      <c r="Z5" s="19">
        <f t="shared" si="3"/>
        <v>0.47516545455932491</v>
      </c>
      <c r="AA5" s="20"/>
    </row>
    <row r="6" spans="1:27" x14ac:dyDescent="0.25">
      <c r="A6" s="10">
        <v>45700.270833333336</v>
      </c>
      <c r="B6" s="11" t="s">
        <v>36</v>
      </c>
      <c r="C6" s="11" t="s">
        <v>33</v>
      </c>
      <c r="D6" s="12">
        <v>0</v>
      </c>
      <c r="E6" s="12">
        <v>0</v>
      </c>
      <c r="F6" s="12">
        <v>0</v>
      </c>
      <c r="G6" s="13">
        <v>0</v>
      </c>
      <c r="H6" s="13">
        <v>0</v>
      </c>
      <c r="I6" s="13">
        <v>0</v>
      </c>
      <c r="J6" s="13">
        <v>0</v>
      </c>
      <c r="K6" s="14">
        <f t="shared" si="0"/>
        <v>0</v>
      </c>
      <c r="L6" s="15">
        <f t="shared" si="1"/>
        <v>0</v>
      </c>
      <c r="M6" s="16">
        <v>0</v>
      </c>
      <c r="N6" s="17">
        <v>0</v>
      </c>
      <c r="O6" s="14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9">
        <f t="shared" si="2"/>
        <v>0</v>
      </c>
      <c r="Z6" s="19">
        <f t="shared" si="3"/>
        <v>0</v>
      </c>
      <c r="AA6" s="20"/>
    </row>
    <row r="7" spans="1:27" x14ac:dyDescent="0.25">
      <c r="A7" s="10">
        <v>45700.270833333336</v>
      </c>
      <c r="B7" s="11" t="s">
        <v>37</v>
      </c>
      <c r="C7" s="11" t="s">
        <v>33</v>
      </c>
      <c r="D7" s="12">
        <v>0</v>
      </c>
      <c r="E7" s="12">
        <v>0</v>
      </c>
      <c r="F7" s="12">
        <v>0.66666666666666663</v>
      </c>
      <c r="G7" s="13">
        <v>0</v>
      </c>
      <c r="H7" s="13">
        <v>0</v>
      </c>
      <c r="I7" s="13">
        <v>0</v>
      </c>
      <c r="J7" s="13">
        <v>0</v>
      </c>
      <c r="K7" s="14">
        <f t="shared" si="0"/>
        <v>0</v>
      </c>
      <c r="L7" s="15">
        <f t="shared" si="1"/>
        <v>0</v>
      </c>
      <c r="M7" s="16">
        <v>0</v>
      </c>
      <c r="N7" s="17">
        <v>0</v>
      </c>
      <c r="O7" s="14">
        <v>0</v>
      </c>
      <c r="P7" s="18">
        <v>0</v>
      </c>
      <c r="Q7" s="18">
        <v>0</v>
      </c>
      <c r="R7" s="18">
        <v>0.66666666666666663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9">
        <f t="shared" si="2"/>
        <v>1</v>
      </c>
      <c r="Z7" s="19">
        <f t="shared" si="3"/>
        <v>0</v>
      </c>
      <c r="AA7" s="20"/>
    </row>
    <row r="8" spans="1:27" x14ac:dyDescent="0.25">
      <c r="A8" s="10">
        <v>45700.270833333336</v>
      </c>
      <c r="B8" s="11" t="s">
        <v>38</v>
      </c>
      <c r="C8" s="11" t="s">
        <v>33</v>
      </c>
      <c r="D8" s="12">
        <v>0.41736111111094942</v>
      </c>
      <c r="E8" s="12">
        <v>0.7930555555576575</v>
      </c>
      <c r="F8" s="12">
        <v>0.37584351851851855</v>
      </c>
      <c r="G8" s="13">
        <v>42</v>
      </c>
      <c r="H8" s="13">
        <v>17</v>
      </c>
      <c r="I8" s="13">
        <v>0</v>
      </c>
      <c r="J8" s="13">
        <v>25</v>
      </c>
      <c r="K8" s="14">
        <f t="shared" si="0"/>
        <v>1</v>
      </c>
      <c r="L8" s="15">
        <f t="shared" si="1"/>
        <v>42</v>
      </c>
      <c r="M8" s="16">
        <v>0</v>
      </c>
      <c r="N8" s="17">
        <v>2.6927199074074076E-3</v>
      </c>
      <c r="O8" s="14">
        <v>0.49</v>
      </c>
      <c r="P8" s="18">
        <v>0.22875292824074075</v>
      </c>
      <c r="Q8" s="18">
        <v>0.11609200231481481</v>
      </c>
      <c r="R8" s="18">
        <v>0.14709059027777779</v>
      </c>
      <c r="S8" s="18">
        <v>6.6299861111111108E-2</v>
      </c>
      <c r="T8" s="18">
        <v>0</v>
      </c>
      <c r="U8" s="18">
        <v>1.7460439814814818E-2</v>
      </c>
      <c r="V8" s="18">
        <v>1.5761550925925925E-2</v>
      </c>
      <c r="W8" s="18">
        <v>0</v>
      </c>
      <c r="X8" s="18">
        <v>0</v>
      </c>
      <c r="Y8" s="19">
        <f t="shared" si="2"/>
        <v>0.39136125283621287</v>
      </c>
      <c r="Z8" s="19">
        <f t="shared" si="3"/>
        <v>0.50749952452035496</v>
      </c>
      <c r="AA8" s="20" t="s">
        <v>39</v>
      </c>
    </row>
    <row r="9" spans="1:27" x14ac:dyDescent="0.25">
      <c r="A9" s="10">
        <v>45700.270833333336</v>
      </c>
      <c r="B9" s="11" t="s">
        <v>40</v>
      </c>
      <c r="C9" s="11" t="s">
        <v>33</v>
      </c>
      <c r="D9" s="12">
        <v>0</v>
      </c>
      <c r="E9" s="12">
        <v>0</v>
      </c>
      <c r="F9" s="12">
        <v>0</v>
      </c>
      <c r="G9" s="13">
        <v>0</v>
      </c>
      <c r="H9" s="13">
        <v>0</v>
      </c>
      <c r="I9" s="13">
        <v>0</v>
      </c>
      <c r="J9" s="13">
        <v>0</v>
      </c>
      <c r="K9" s="14">
        <f t="shared" si="0"/>
        <v>0</v>
      </c>
      <c r="L9" s="15">
        <f t="shared" si="1"/>
        <v>0</v>
      </c>
      <c r="M9" s="16">
        <v>0</v>
      </c>
      <c r="N9" s="17">
        <v>0</v>
      </c>
      <c r="O9" s="14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9">
        <f t="shared" si="2"/>
        <v>0</v>
      </c>
      <c r="Z9" s="19">
        <f t="shared" si="3"/>
        <v>0</v>
      </c>
      <c r="AA9" s="20"/>
    </row>
    <row r="10" spans="1:27" x14ac:dyDescent="0.25">
      <c r="A10" s="10">
        <v>45700.270833333336</v>
      </c>
      <c r="B10" s="11" t="s">
        <v>41</v>
      </c>
      <c r="C10" s="11" t="s">
        <v>33</v>
      </c>
      <c r="D10" s="12">
        <v>0</v>
      </c>
      <c r="E10" s="12">
        <v>0</v>
      </c>
      <c r="F10" s="12">
        <v>0</v>
      </c>
      <c r="G10" s="13">
        <v>0</v>
      </c>
      <c r="H10" s="13">
        <v>0</v>
      </c>
      <c r="I10" s="13">
        <v>0</v>
      </c>
      <c r="J10" s="13">
        <v>0</v>
      </c>
      <c r="K10" s="14">
        <f t="shared" si="0"/>
        <v>0</v>
      </c>
      <c r="L10" s="15">
        <f t="shared" si="1"/>
        <v>0</v>
      </c>
      <c r="M10" s="16">
        <v>0</v>
      </c>
      <c r="N10" s="17">
        <v>0</v>
      </c>
      <c r="O10" s="14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9">
        <f t="shared" si="2"/>
        <v>0</v>
      </c>
      <c r="Z10" s="19">
        <f t="shared" si="3"/>
        <v>0</v>
      </c>
      <c r="AA10" s="20"/>
    </row>
  </sheetData>
  <protectedRanges>
    <protectedRange sqref="A3:AA10" name="Range1_4"/>
  </protectedRanges>
  <mergeCells count="4">
    <mergeCell ref="A1:C1"/>
    <mergeCell ref="D1:F1"/>
    <mergeCell ref="G1:O1"/>
    <mergeCell ref="P1:Z1"/>
  </mergeCells>
  <conditionalFormatting sqref="K3:K10">
    <cfRule type="cellIs" dxfId="7" priority="3" operator="between">
      <formula>0.6</formula>
      <formula>0.74</formula>
    </cfRule>
    <cfRule type="cellIs" dxfId="6" priority="7" operator="lessThan">
      <formula>0.6</formula>
    </cfRule>
    <cfRule type="cellIs" dxfId="5" priority="8" operator="greaterThan">
      <formula>0.7499</formula>
    </cfRule>
  </conditionalFormatting>
  <conditionalFormatting sqref="O3:O10">
    <cfRule type="cellIs" dxfId="4" priority="5" operator="lessThan">
      <formula>0.6</formula>
    </cfRule>
    <cfRule type="cellIs" dxfId="3" priority="6" operator="greaterThan">
      <formula>0.69</formula>
    </cfRule>
  </conditionalFormatting>
  <conditionalFormatting sqref="Y3:Y10">
    <cfRule type="cellIs" dxfId="2" priority="1" operator="greaterThanOrEqual">
      <formula>0.25</formula>
    </cfRule>
    <cfRule type="cellIs" dxfId="1" priority="2" operator="lessThan">
      <formula>0.25</formula>
    </cfRule>
  </conditionalFormatting>
  <conditionalFormatting sqref="Z3:Z10">
    <cfRule type="cellIs" dxfId="0" priority="4" operator="greater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Ahmed Al Hammadi</dc:creator>
  <cp:lastModifiedBy>Fahad Ahmed Al Hammadi</cp:lastModifiedBy>
  <dcterms:created xsi:type="dcterms:W3CDTF">2025-12-06T22:03:38Z</dcterms:created>
  <dcterms:modified xsi:type="dcterms:W3CDTF">2025-12-06T22:05:31Z</dcterms:modified>
</cp:coreProperties>
</file>